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ear Regression Errors" sheetId="1" state="visible" r:id="rId3"/>
    <sheet name="Classification 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<sst xmlns="http://schemas.openxmlformats.org/spreadsheetml/2006/main" count="27" uniqueCount="26">
  <si>
    <t xml:space="preserve">Week 2 Live Session: How do we know if a line is a good fit?</t>
  </si>
  <si>
    <t xml:space="preserve">Slope (m) from last week's model:</t>
  </si>
  <si>
    <t xml:space="preserve">Intercept (b) from last week's model:</t>
  </si>
  <si>
    <t xml:space="preserve">current_mA</t>
  </si>
  <si>
    <t xml:space="preserve">voltage_V (actual)</t>
  </si>
  <si>
    <t xml:space="preserve">predicted_voltage</t>
  </si>
  <si>
    <t xml:space="preserve">error (actual - predicted)</t>
  </si>
  <si>
    <t xml:space="preserve">squared_error</t>
  </si>
  <si>
    <t xml:space="preserve">Sum of squared errors (SSE):</t>
  </si>
  <si>
    <t xml:space="preserve">Mean Squared Error (MSE):</t>
  </si>
  <si>
    <t xml:space="preserve">Root Mean Squared Error (RMSE):</t>
  </si>
  <si>
    <t xml:space="preserve">Note: blue cells are the raw data and the slope/intercept from last week. Black formula cells recalculate automatically. RMSE is in the same unit as voltage, so it is the easiest one to say out loud ("our predictions are typically off by about this many volts").</t>
  </si>
  <si>
    <t xml:space="preserve">Week 2 Live Session: Is this current level unsafe? (Logistic Regression)</t>
  </si>
  <si>
    <t xml:space="preserve">Logistic regression coefficient (b1):</t>
  </si>
  <si>
    <t xml:space="preserve">Logistic regression intercept (b0):</t>
  </si>
  <si>
    <t xml:space="preserve">Decision threshold:</t>
  </si>
  <si>
    <t xml:space="preserve">actual_unsafe (1=yes)</t>
  </si>
  <si>
    <t xml:space="preserve">predicted_probability</t>
  </si>
  <si>
    <t xml:space="preserve">predicted_unsafe (1=yes)</t>
  </si>
  <si>
    <t xml:space="preserve">Confusion Matrix</t>
  </si>
  <si>
    <t xml:space="preserve">Predicted: Unsafe</t>
  </si>
  <si>
    <t xml:space="preserve">Predicted: Safe</t>
  </si>
  <si>
    <t xml:space="preserve">Actual: Unsafe</t>
  </si>
  <si>
    <t xml:space="preserve">Actual: Safe</t>
  </si>
  <si>
    <t xml:space="preserve">Accuracy (correct predictions / total):</t>
  </si>
  <si>
    <t xml:space="preserve">Note: blue cells are the raw data and the logistic regression's own coefficients. The probability column uses the logistic (sigmoid) formula: 1 / (1 + e^-(b0 + b1*x)). This is the same shape formula behind every logistic regression model, just written out by hand here.</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</si>
</sst>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1"/>
      <name val="Arial"/>
      <family val="0"/>
      <charset val="1"/>
    </font>
    <font>
      <sz val="11"/>
      <color rgb="FF0000FF"/>
      <name val="Arial"/>
      <family val="0"/>
      <charset val="1"/>
    </font>
    <font>
      <i val="true"/>
      <sz val="9"/>
      <name val="Arial"/>
      <family val="0"/>
      <charset val="1"/>
    </font>
  </fonts>
  <fills count="3">
    <fill>
      <patternFill patternType="none"/>
    </fill>
    <fill>
      <patternFill patternType="gray125"/>
    </fill>
    <fill>
      <patternFill patternType="solid">
        <fgColor rgb="FFD9D9D9"/>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8"/>
    <col collapsed="false" customWidth="true" hidden="false" outlineLevel="0" max="4" min="4" style="0" width="22"/>
    <col collapsed="false" customWidth="true" hidden="false" outlineLevel="0" max="5" min="5" style="0" width="15"/>
  </cols>
  <sheetData>
    <row r="1" customFormat="false" ht="16.15" hidden="false" customHeight="false" outlineLevel="0" collapsed="false">
      <c r="A1" s="1" t="s">
        <v>0</v>
      </c>
      <c r="B1" s="1"/>
      <c r="C1" s="1"/>
      <c r="D1" s="1"/>
      <c r="E1" s="1"/>
    </row>
    <row r="3" customFormat="false" ht="15" hidden="false" customHeight="false" outlineLevel="0" collapsed="false">
      <c r="A3" s="2" t="s">
        <v>1</v>
      </c>
      <c r="B3" s="3" t="n">
        <v>0.100442775777177</v>
      </c>
    </row>
    <row r="4" customFormat="false" ht="15" hidden="false" customHeight="false" outlineLevel="0" collapsed="false">
      <c r="A4" s="2" t="s">
        <v>2</v>
      </c>
      <c r="B4" s="3" t="n">
        <v>-0.0230050618368294</v>
      </c>
    </row>
    <row r="6" customFormat="false" ht="15" hidden="false" customHeight="false" outlineLevel="0" collapsed="false">
      <c r="A6" s="4" t="s">
        <v>3</v>
      </c>
      <c r="B6" s="4" t="s">
        <v>4</v>
      </c>
      <c r="C6" s="4" t="s">
        <v>5</v>
      </c>
      <c r="D6" s="4" t="s">
        <v>6</v>
      </c>
      <c r="E6" s="4" t="s">
        <v>7</v>
      </c>
    </row>
    <row r="7" customFormat="false" ht="15" hidden="false" customHeight="false" outlineLevel="0" collapsed="false">
      <c r="A7" s="3" t="n">
        <v>5.93</v>
      </c>
      <c r="B7" s="3" t="n">
        <v>0.576</v>
      </c>
      <c r="C7" s="5" t="n">
        <f aca="false">$B$3*A7+$B$4</f>
        <v>0.572620598521831</v>
      </c>
      <c r="D7" s="5" t="n">
        <f aca="false">B7-C7</f>
        <v>0.00337940147816918</v>
      </c>
      <c r="E7" s="5" t="n">
        <f aca="false">D7^2</f>
        <v>1.1420354350652E-005</v>
      </c>
    </row>
    <row r="8" customFormat="false" ht="15" hidden="false" customHeight="false" outlineLevel="0" collapsed="false">
      <c r="A8" s="3" t="n">
        <v>7.09</v>
      </c>
      <c r="B8" s="3" t="n">
        <v>0.681</v>
      </c>
      <c r="C8" s="5" t="n">
        <f aca="false">$B$3*A8+$B$4</f>
        <v>0.689134218423356</v>
      </c>
      <c r="D8" s="5" t="n">
        <f aca="false">B8-C8</f>
        <v>-0.00813421842335615</v>
      </c>
      <c r="E8" s="5" t="n">
        <f aca="false">D8^2</f>
        <v>6.61655093588667E-005</v>
      </c>
    </row>
    <row r="9" customFormat="false" ht="15" hidden="false" customHeight="false" outlineLevel="0" collapsed="false">
      <c r="A9" s="3" t="n">
        <v>7.61</v>
      </c>
      <c r="B9" s="3" t="n">
        <v>0.562</v>
      </c>
      <c r="C9" s="5" t="n">
        <f aca="false">$B$3*A9+$B$4</f>
        <v>0.741364461827488</v>
      </c>
      <c r="D9" s="5" t="n">
        <f aca="false">B9-C9</f>
        <v>-0.179364461827488</v>
      </c>
      <c r="E9" s="5" t="n">
        <f aca="false">D9^2</f>
        <v>0.0321716101666645</v>
      </c>
    </row>
    <row r="10" customFormat="false" ht="15" hidden="false" customHeight="false" outlineLevel="0" collapsed="false">
      <c r="A10" s="3" t="n">
        <v>7.93</v>
      </c>
      <c r="B10" s="3" t="n">
        <v>0.915</v>
      </c>
      <c r="C10" s="5" t="n">
        <f aca="false">$B$3*A10+$B$4</f>
        <v>0.773506150076185</v>
      </c>
      <c r="D10" s="5" t="n">
        <f aca="false">B10-C10</f>
        <v>0.141493849923815</v>
      </c>
      <c r="E10" s="5" t="n">
        <f aca="false">D10^2</f>
        <v>0.0200205095662631</v>
      </c>
    </row>
    <row r="11" customFormat="false" ht="15" hidden="false" customHeight="false" outlineLevel="0" collapsed="false">
      <c r="A11" s="3" t="n">
        <v>9.4</v>
      </c>
      <c r="B11" s="3" t="n">
        <v>0.843</v>
      </c>
      <c r="C11" s="5" t="n">
        <f aca="false">$B$3*A11+$B$4</f>
        <v>0.921157030468635</v>
      </c>
      <c r="D11" s="5" t="n">
        <f aca="false">B11-C11</f>
        <v>-0.0781570304686354</v>
      </c>
      <c r="E11" s="5" t="n">
        <f aca="false">D11^2</f>
        <v>0.00610852141167521</v>
      </c>
    </row>
    <row r="12" customFormat="false" ht="15" hidden="false" customHeight="false" outlineLevel="0" collapsed="false">
      <c r="A12" s="3" t="n">
        <v>11.28</v>
      </c>
      <c r="B12" s="3" t="n">
        <v>1.22</v>
      </c>
      <c r="C12" s="5" t="n">
        <f aca="false">$B$3*A12+$B$4</f>
        <v>1.10998944892973</v>
      </c>
      <c r="D12" s="5" t="n">
        <f aca="false">B12-C12</f>
        <v>0.110010551070272</v>
      </c>
      <c r="E12" s="5" t="n">
        <f aca="false">D12^2</f>
        <v>0.0121023213467849</v>
      </c>
    </row>
    <row r="13" customFormat="false" ht="15" hidden="false" customHeight="false" outlineLevel="0" collapsed="false">
      <c r="A13" s="3" t="n">
        <v>12.02</v>
      </c>
      <c r="B13" s="3" t="n">
        <v>0.908</v>
      </c>
      <c r="C13" s="5" t="n">
        <f aca="false">$B$3*A13+$B$4</f>
        <v>1.18431710300484</v>
      </c>
      <c r="D13" s="5" t="n">
        <f aca="false">B13-C13</f>
        <v>-0.276317103004839</v>
      </c>
      <c r="E13" s="5" t="n">
        <f aca="false">D13^2</f>
        <v>0.076351141412987</v>
      </c>
    </row>
    <row r="14" customFormat="false" ht="15" hidden="false" customHeight="false" outlineLevel="0" collapsed="false">
      <c r="A14" s="3" t="n">
        <v>12.02</v>
      </c>
      <c r="B14" s="3" t="n">
        <v>1.233</v>
      </c>
      <c r="C14" s="5" t="n">
        <f aca="false">$B$3*A14+$B$4</f>
        <v>1.18431710300484</v>
      </c>
      <c r="D14" s="5" t="n">
        <f aca="false">B14-C14</f>
        <v>0.0486828969951607</v>
      </c>
      <c r="E14" s="5" t="n">
        <f aca="false">D14^2</f>
        <v>0.00237002445984143</v>
      </c>
    </row>
    <row r="15" customFormat="false" ht="15" hidden="false" customHeight="false" outlineLevel="0" collapsed="false">
      <c r="A15" s="3" t="n">
        <v>12.67</v>
      </c>
      <c r="B15" s="3" t="n">
        <v>1.088</v>
      </c>
      <c r="C15" s="5" t="n">
        <f aca="false">$B$3*A15+$B$4</f>
        <v>1.24960490726</v>
      </c>
      <c r="D15" s="5" t="n">
        <f aca="false">B15-C15</f>
        <v>-0.161604907260004</v>
      </c>
      <c r="E15" s="5" t="n">
        <f aca="false">D15^2</f>
        <v>0.0261161460505146</v>
      </c>
    </row>
    <row r="16" customFormat="false" ht="15" hidden="false" customHeight="false" outlineLevel="0" collapsed="false">
      <c r="A16" s="3" t="n">
        <v>13.18</v>
      </c>
      <c r="B16" s="3" t="n">
        <v>1.249</v>
      </c>
      <c r="C16" s="5" t="n">
        <f aca="false">$B$3*A16+$B$4</f>
        <v>1.30083072290636</v>
      </c>
      <c r="D16" s="5" t="n">
        <f aca="false">B16-C16</f>
        <v>-0.0518307229063646</v>
      </c>
      <c r="E16" s="5" t="n">
        <f aca="false">D16^2</f>
        <v>0.00268642383699635</v>
      </c>
    </row>
    <row r="17" customFormat="false" ht="15" hidden="false" customHeight="false" outlineLevel="0" collapsed="false">
      <c r="A17" s="3" t="n">
        <v>13.25</v>
      </c>
      <c r="B17" s="3" t="n">
        <v>1.484</v>
      </c>
      <c r="C17" s="5" t="n">
        <f aca="false">$B$3*A17+$B$4</f>
        <v>1.30786171721077</v>
      </c>
      <c r="D17" s="5" t="n">
        <f aca="false">B17-C17</f>
        <v>0.176138282789233</v>
      </c>
      <c r="E17" s="5" t="n">
        <f aca="false">D17^2</f>
        <v>0.0310246946639398</v>
      </c>
    </row>
    <row r="18" customFormat="false" ht="15" hidden="false" customHeight="false" outlineLevel="0" collapsed="false">
      <c r="A18" s="3" t="n">
        <v>13.99</v>
      </c>
      <c r="B18" s="3" t="n">
        <v>1.449</v>
      </c>
      <c r="C18" s="5" t="n">
        <f aca="false">$B$3*A18+$B$4</f>
        <v>1.38218937128588</v>
      </c>
      <c r="D18" s="5" t="n">
        <f aca="false">B18-C18</f>
        <v>0.0668106287141219</v>
      </c>
      <c r="E18" s="5" t="n">
        <f aca="false">D18^2</f>
        <v>0.00446366010917625</v>
      </c>
    </row>
    <row r="19" customFormat="false" ht="15" hidden="false" customHeight="false" outlineLevel="0" collapsed="false">
      <c r="A19" s="3" t="n">
        <v>14.56</v>
      </c>
      <c r="B19" s="3" t="n">
        <v>1.348</v>
      </c>
      <c r="C19" s="5" t="n">
        <f aca="false">$B$3*A19+$B$4</f>
        <v>1.43944175347887</v>
      </c>
      <c r="D19" s="5" t="n">
        <f aca="false">B19-C19</f>
        <v>-0.0914417534788692</v>
      </c>
      <c r="E19" s="5" t="n">
        <f aca="false">D19^2</f>
        <v>0.00836159427929028</v>
      </c>
    </row>
    <row r="20" customFormat="false" ht="15" hidden="false" customHeight="false" outlineLevel="0" collapsed="false">
      <c r="A20" s="3" t="n">
        <v>18.11</v>
      </c>
      <c r="B20" s="3" t="n">
        <v>1.753</v>
      </c>
      <c r="C20" s="5" t="n">
        <f aca="false">$B$3*A20+$B$4</f>
        <v>1.79601360748785</v>
      </c>
      <c r="D20" s="5" t="n">
        <f aca="false">B20-C20</f>
        <v>-0.043013607487848</v>
      </c>
      <c r="E20" s="5" t="n">
        <f aca="false">D20^2</f>
        <v>0.00185017042911865</v>
      </c>
    </row>
    <row r="21" customFormat="false" ht="15" hidden="false" customHeight="false" outlineLevel="0" collapsed="false">
      <c r="A21" s="3" t="n">
        <v>18.15</v>
      </c>
      <c r="B21" s="3" t="n">
        <v>1.97</v>
      </c>
      <c r="C21" s="5" t="n">
        <f aca="false">$B$3*A21+$B$4</f>
        <v>1.80003131851893</v>
      </c>
      <c r="D21" s="5" t="n">
        <f aca="false">B21-C21</f>
        <v>0.169968681481065</v>
      </c>
      <c r="E21" s="5" t="n">
        <f aca="false">D21^2</f>
        <v>0.0288893526844118</v>
      </c>
    </row>
    <row r="22" customFormat="false" ht="15" hidden="false" customHeight="false" outlineLevel="0" collapsed="false">
      <c r="A22" s="3" t="n">
        <v>18.69</v>
      </c>
      <c r="B22" s="3" t="n">
        <v>1.921</v>
      </c>
      <c r="C22" s="5" t="n">
        <f aca="false">$B$3*A22+$B$4</f>
        <v>1.85427041743861</v>
      </c>
      <c r="D22" s="5" t="n">
        <f aca="false">B22-C22</f>
        <v>0.0667295825613894</v>
      </c>
      <c r="E22" s="5" t="n">
        <f aca="false">D22^2</f>
        <v>0.00445283718881728</v>
      </c>
    </row>
    <row r="23" customFormat="false" ht="15" hidden="false" customHeight="false" outlineLevel="0" collapsed="false">
      <c r="A23" s="3" t="n">
        <v>18.71</v>
      </c>
      <c r="B23" s="3" t="n">
        <v>1.925</v>
      </c>
      <c r="C23" s="5" t="n">
        <f aca="false">$B$3*A23+$B$4</f>
        <v>1.85627927295415</v>
      </c>
      <c r="D23" s="5" t="n">
        <f aca="false">B23-C23</f>
        <v>0.0687207270458459</v>
      </c>
      <c r="E23" s="5" t="n">
        <f aca="false">D23^2</f>
        <v>0.00472253832570965</v>
      </c>
    </row>
    <row r="24" customFormat="false" ht="15" hidden="false" customHeight="false" outlineLevel="0" collapsed="false">
      <c r="A24" s="3" t="n">
        <v>21.49</v>
      </c>
      <c r="B24" s="3" t="n">
        <v>2.289</v>
      </c>
      <c r="C24" s="5" t="n">
        <f aca="false">$B$3*A24+$B$4</f>
        <v>2.13551018961471</v>
      </c>
      <c r="D24" s="5" t="n">
        <f aca="false">B24-C24</f>
        <v>0.153489810385294</v>
      </c>
      <c r="E24" s="5" t="n">
        <f aca="false">D24^2</f>
        <v>0.0235591218921135</v>
      </c>
    </row>
    <row r="25" customFormat="false" ht="15" hidden="false" customHeight="false" outlineLevel="0" collapsed="false">
      <c r="A25" s="3" t="n">
        <v>21.85</v>
      </c>
      <c r="B25" s="3" t="n">
        <v>2.183</v>
      </c>
      <c r="C25" s="5" t="n">
        <f aca="false">$B$3*A25+$B$4</f>
        <v>2.17166958889449</v>
      </c>
      <c r="D25" s="5" t="n">
        <f aca="false">B25-C25</f>
        <v>0.0113304111055093</v>
      </c>
      <c r="E25" s="5" t="n">
        <f aca="false">D25^2</f>
        <v>0.000128378215819847</v>
      </c>
    </row>
    <row r="26" customFormat="false" ht="15" hidden="false" customHeight="false" outlineLevel="0" collapsed="false">
      <c r="A26" s="3" t="n">
        <v>24.44</v>
      </c>
      <c r="B26" s="3" t="n">
        <v>2.493</v>
      </c>
      <c r="C26" s="5" t="n">
        <f aca="false">$B$3*A26+$B$4</f>
        <v>2.43181637815738</v>
      </c>
      <c r="D26" s="5" t="n">
        <f aca="false">B26-C26</f>
        <v>0.0611836218426207</v>
      </c>
      <c r="E26" s="5" t="n">
        <f aca="false">D26^2</f>
        <v>0.00374343558178081</v>
      </c>
    </row>
    <row r="27" customFormat="false" ht="15" hidden="false" customHeight="false" outlineLevel="0" collapsed="false">
      <c r="A27" s="3" t="n">
        <v>24.81</v>
      </c>
      <c r="B27" s="3" t="n">
        <v>2.712</v>
      </c>
      <c r="C27" s="5" t="n">
        <f aca="false">$B$3*A27+$B$4</f>
        <v>2.46898020519493</v>
      </c>
      <c r="D27" s="5" t="n">
        <f aca="false">B27-C27</f>
        <v>0.243019794805066</v>
      </c>
      <c r="E27" s="5" t="n">
        <f aca="false">D27^2</f>
        <v>0.0590586206670964</v>
      </c>
    </row>
    <row r="28" customFormat="false" ht="15" hidden="false" customHeight="false" outlineLevel="0" collapsed="false">
      <c r="A28" s="3" t="n">
        <v>25.52</v>
      </c>
      <c r="B28" s="3" t="n">
        <v>2.426</v>
      </c>
      <c r="C28" s="5" t="n">
        <f aca="false">$B$3*A28+$B$4</f>
        <v>2.54029457599673</v>
      </c>
      <c r="D28" s="5" t="n">
        <f aca="false">B28-C28</f>
        <v>-0.11429457599673</v>
      </c>
      <c r="E28" s="5" t="n">
        <f aca="false">D28^2</f>
        <v>0.0130632501022723</v>
      </c>
    </row>
    <row r="29" customFormat="false" ht="15" hidden="false" customHeight="false" outlineLevel="0" collapsed="false">
      <c r="A29" s="3" t="n">
        <v>28.14</v>
      </c>
      <c r="B29" s="3" t="n">
        <v>2.96</v>
      </c>
      <c r="C29" s="5" t="n">
        <f aca="false">$B$3*A29+$B$4</f>
        <v>2.80345464853293</v>
      </c>
      <c r="D29" s="5" t="n">
        <f aca="false">B29-C29</f>
        <v>0.156545351467066</v>
      </c>
      <c r="E29" s="5" t="n">
        <f aca="false">D29^2</f>
        <v>0.0245064470659471</v>
      </c>
    </row>
    <row r="30" customFormat="false" ht="15" hidden="false" customHeight="false" outlineLevel="0" collapsed="false">
      <c r="A30" s="3" t="n">
        <v>28.61</v>
      </c>
      <c r="B30" s="3" t="n">
        <v>2.597</v>
      </c>
      <c r="C30" s="5" t="n">
        <f aca="false">$B$3*A30+$B$4</f>
        <v>2.85066275314821</v>
      </c>
      <c r="D30" s="5" t="n">
        <f aca="false">B30-C30</f>
        <v>-0.253662753148207</v>
      </c>
      <c r="E30" s="5" t="n">
        <f aca="false">D30^2</f>
        <v>0.0643447923347283</v>
      </c>
    </row>
    <row r="31" customFormat="false" ht="15" hidden="false" customHeight="false" outlineLevel="0" collapsed="false">
      <c r="A31" s="3" t="n">
        <v>31.66</v>
      </c>
      <c r="B31" s="3" t="n">
        <v>3.094</v>
      </c>
      <c r="C31" s="5" t="n">
        <f aca="false">$B$3*A31+$B$4</f>
        <v>3.1570132192686</v>
      </c>
      <c r="D31" s="5" t="n">
        <f aca="false">B31-C31</f>
        <v>-0.0630132192685977</v>
      </c>
      <c r="E31" s="5" t="n">
        <f aca="false">D31^2</f>
        <v>0.00397066580259237</v>
      </c>
    </row>
    <row r="32" customFormat="false" ht="15" hidden="false" customHeight="false" outlineLevel="0" collapsed="false">
      <c r="A32" s="3" t="n">
        <v>31.94</v>
      </c>
      <c r="B32" s="3" t="n">
        <v>3.011</v>
      </c>
      <c r="C32" s="5" t="n">
        <f aca="false">$B$3*A32+$B$4</f>
        <v>3.18513719648621</v>
      </c>
      <c r="D32" s="5" t="n">
        <f aca="false">B32-C32</f>
        <v>-0.174137196486207</v>
      </c>
      <c r="E32" s="5" t="n">
        <f aca="false">D32^2</f>
        <v>0.030323763200076</v>
      </c>
    </row>
    <row r="33" customFormat="false" ht="15" hidden="false" customHeight="false" outlineLevel="0" collapsed="false">
      <c r="A33" s="3" t="n">
        <v>32.05</v>
      </c>
      <c r="B33" s="3" t="n">
        <v>3.316</v>
      </c>
      <c r="C33" s="5" t="n">
        <f aca="false">$B$3*A33+$B$4</f>
        <v>3.1961859018217</v>
      </c>
      <c r="D33" s="5" t="n">
        <f aca="false">B33-C33</f>
        <v>0.119814098178304</v>
      </c>
      <c r="E33" s="5" t="n">
        <f aca="false">D33^2</f>
        <v>0.0143554181222802</v>
      </c>
    </row>
    <row r="34" customFormat="false" ht="15" hidden="false" customHeight="false" outlineLevel="0" collapsed="false">
      <c r="A34" s="3" t="n">
        <v>32.34</v>
      </c>
      <c r="B34" s="3" t="n">
        <v>3.068</v>
      </c>
      <c r="C34" s="5" t="n">
        <f aca="false">$B$3*A34+$B$4</f>
        <v>3.22531430679708</v>
      </c>
      <c r="D34" s="5" t="n">
        <f aca="false">B34-C34</f>
        <v>-0.157314306797078</v>
      </c>
      <c r="E34" s="5" t="n">
        <f aca="false">D34^2</f>
        <v>0.0247477911230453</v>
      </c>
    </row>
    <row r="35" customFormat="false" ht="15" hidden="false" customHeight="false" outlineLevel="0" collapsed="false">
      <c r="A35" s="3" t="n">
        <v>32.53</v>
      </c>
      <c r="B35" s="3" t="n">
        <v>3.151</v>
      </c>
      <c r="C35" s="5" t="n">
        <f aca="false">$B$3*A35+$B$4</f>
        <v>3.24439843419474</v>
      </c>
      <c r="D35" s="5" t="n">
        <f aca="false">B35-C35</f>
        <v>-0.093398434194742</v>
      </c>
      <c r="E35" s="5" t="n">
        <f aca="false">D35^2</f>
        <v>0.00872326751002956</v>
      </c>
    </row>
    <row r="36" customFormat="false" ht="15" hidden="false" customHeight="false" outlineLevel="0" collapsed="false">
      <c r="A36" s="3" t="n">
        <v>35.79</v>
      </c>
      <c r="B36" s="3" t="n">
        <v>3.633</v>
      </c>
      <c r="C36" s="5" t="n">
        <f aca="false">$B$3*A36+$B$4</f>
        <v>3.57184188322834</v>
      </c>
      <c r="D36" s="5" t="n">
        <f aca="false">B36-C36</f>
        <v>0.0611581167716611</v>
      </c>
      <c r="E36" s="5" t="n">
        <f aca="false">D36^2</f>
        <v>0.00374031524705613</v>
      </c>
    </row>
    <row r="37" customFormat="false" ht="15" hidden="false" customHeight="false" outlineLevel="0" collapsed="false">
      <c r="A37" s="3" t="n">
        <v>36.86</v>
      </c>
      <c r="B37" s="3" t="n">
        <v>3.712</v>
      </c>
      <c r="C37" s="5" t="n">
        <f aca="false">$B$3*A37+$B$4</f>
        <v>3.67931565330992</v>
      </c>
      <c r="D37" s="5" t="n">
        <f aca="false">B37-C37</f>
        <v>0.0326843466900817</v>
      </c>
      <c r="E37" s="5" t="n">
        <f aca="false">D37^2</f>
        <v>0.00106826651855745</v>
      </c>
    </row>
    <row r="38" customFormat="false" ht="15" hidden="false" customHeight="false" outlineLevel="0" collapsed="false">
      <c r="A38" s="3" t="n">
        <v>37.94</v>
      </c>
      <c r="B38" s="3" t="n">
        <v>3.917</v>
      </c>
      <c r="C38" s="5" t="n">
        <f aca="false">$B$3*A38+$B$4</f>
        <v>3.78779385114927</v>
      </c>
      <c r="D38" s="5" t="n">
        <f aca="false">B38-C38</f>
        <v>0.12920614885073</v>
      </c>
      <c r="E38" s="5" t="n">
        <f aca="false">D38^2</f>
        <v>0.0166942289008371</v>
      </c>
    </row>
    <row r="39" customFormat="false" ht="15" hidden="false" customHeight="false" outlineLevel="0" collapsed="false">
      <c r="A39" s="3" t="n">
        <v>40.33</v>
      </c>
      <c r="B39" s="3" t="n">
        <v>3.987</v>
      </c>
      <c r="C39" s="5" t="n">
        <f aca="false">$B$3*A39+$B$4</f>
        <v>4.02785208525672</v>
      </c>
      <c r="D39" s="5" t="n">
        <f aca="false">B39-C39</f>
        <v>-0.0408520852567227</v>
      </c>
      <c r="E39" s="5" t="n">
        <f aca="false">D39^2</f>
        <v>0.00166889286982254</v>
      </c>
    </row>
    <row r="40" customFormat="false" ht="15" hidden="false" customHeight="false" outlineLevel="0" collapsed="false">
      <c r="A40" s="3" t="n">
        <v>41.38</v>
      </c>
      <c r="B40" s="3" t="n">
        <v>4.289</v>
      </c>
      <c r="C40" s="5" t="n">
        <f aca="false">$B$3*A40+$B$4</f>
        <v>4.13331699982276</v>
      </c>
      <c r="D40" s="5" t="n">
        <f aca="false">B40-C40</f>
        <v>0.15568300017724</v>
      </c>
      <c r="E40" s="5" t="n">
        <f aca="false">D40^2</f>
        <v>0.0242371965441866</v>
      </c>
    </row>
    <row r="41" customFormat="false" ht="15" hidden="false" customHeight="false" outlineLevel="0" collapsed="false">
      <c r="A41" s="3" t="n">
        <v>42.46</v>
      </c>
      <c r="B41" s="3" t="n">
        <v>4.024</v>
      </c>
      <c r="C41" s="5" t="n">
        <f aca="false">$B$3*A41+$B$4</f>
        <v>4.24179519766211</v>
      </c>
      <c r="D41" s="5" t="n">
        <f aca="false">B41-C41</f>
        <v>-0.21779519766211</v>
      </c>
      <c r="E41" s="5" t="n">
        <f aca="false">D41^2</f>
        <v>0.0474347481246777</v>
      </c>
    </row>
    <row r="42" customFormat="false" ht="15" hidden="false" customHeight="false" outlineLevel="0" collapsed="false">
      <c r="A42" s="3" t="n">
        <v>43.98</v>
      </c>
      <c r="B42" s="3" t="n">
        <v>4.428</v>
      </c>
      <c r="C42" s="5" t="n">
        <f aca="false">$B$3*A42+$B$4</f>
        <v>4.39446821684342</v>
      </c>
      <c r="D42" s="5" t="n">
        <f aca="false">B42-C42</f>
        <v>0.0335317831565805</v>
      </c>
      <c r="E42" s="5" t="n">
        <f aca="false">D42^2</f>
        <v>0.00112438048165993</v>
      </c>
    </row>
    <row r="43" customFormat="false" ht="15" hidden="false" customHeight="false" outlineLevel="0" collapsed="false">
      <c r="A43" s="3" t="n">
        <v>47.7</v>
      </c>
      <c r="B43" s="3" t="n">
        <v>4.973</v>
      </c>
      <c r="C43" s="5" t="n">
        <f aca="false">$B$3*A43+$B$4</f>
        <v>4.76811534273452</v>
      </c>
      <c r="D43" s="5" t="n">
        <f aca="false">B43-C43</f>
        <v>0.204884657265481</v>
      </c>
      <c r="E43" s="5" t="n">
        <f aca="false">D43^2</f>
        <v>0.0419777227827936</v>
      </c>
    </row>
    <row r="44" customFormat="false" ht="15" hidden="false" customHeight="false" outlineLevel="0" collapsed="false">
      <c r="A44" s="3" t="n">
        <v>47.78</v>
      </c>
      <c r="B44" s="3" t="n">
        <v>4.619</v>
      </c>
      <c r="C44" s="5" t="n">
        <f aca="false">$B$3*A44+$B$4</f>
        <v>4.77615076479669</v>
      </c>
      <c r="D44" s="5" t="n">
        <f aca="false">B44-C44</f>
        <v>-0.157150764796692</v>
      </c>
      <c r="E44" s="5" t="n">
        <f aca="false">D44^2</f>
        <v>0.0246963628761853</v>
      </c>
    </row>
    <row r="45" customFormat="false" ht="15" hidden="false" customHeight="false" outlineLevel="0" collapsed="false">
      <c r="A45" s="3" t="n">
        <v>48.45</v>
      </c>
      <c r="B45" s="3" t="n">
        <v>4.834</v>
      </c>
      <c r="C45" s="5" t="n">
        <f aca="false">$B$3*A45+$B$4</f>
        <v>4.8434474245674</v>
      </c>
      <c r="D45" s="5" t="n">
        <f aca="false">B45-C45</f>
        <v>-0.00944742456740144</v>
      </c>
      <c r="E45" s="5" t="n">
        <f aca="false">D45^2</f>
        <v>8.92538309567403E-005</v>
      </c>
    </row>
    <row r="46" customFormat="false" ht="15" hidden="false" customHeight="false" outlineLevel="0" collapsed="false">
      <c r="A46" s="3" t="n">
        <v>48.65</v>
      </c>
      <c r="B46" s="3" t="n">
        <v>4.82</v>
      </c>
      <c r="C46" s="5" t="n">
        <f aca="false">$B$3*A46+$B$4</f>
        <v>4.86353597972284</v>
      </c>
      <c r="D46" s="5" t="n">
        <f aca="false">B46-C46</f>
        <v>-0.0435359797228356</v>
      </c>
      <c r="E46" s="5" t="n">
        <f aca="false">D46^2</f>
        <v>0.00189538153042716</v>
      </c>
    </row>
    <row r="48" customFormat="false" ht="15" hidden="false" customHeight="false" outlineLevel="0" collapsed="false">
      <c r="A48" s="2" t="s">
        <v>8</v>
      </c>
      <c r="B48" s="5" t="n">
        <f aca="false">SUM(E7:E46)</f>
        <v>0.696920833120842</v>
      </c>
    </row>
    <row r="49" customFormat="false" ht="15" hidden="false" customHeight="false" outlineLevel="0" collapsed="false">
      <c r="A49" s="2" t="s">
        <v>9</v>
      </c>
      <c r="B49" s="5" t="n">
        <f aca="false">AVERAGE(E7:E46)</f>
        <v>0.0174230208280211</v>
      </c>
    </row>
    <row r="50" customFormat="false" ht="15" hidden="false" customHeight="false" outlineLevel="0" collapsed="false">
      <c r="A50" s="2" t="s">
        <v>10</v>
      </c>
      <c r="B50" s="5" t="n">
        <f aca="false">SQRT(B49)</f>
        <v>0.131996290963122</v>
      </c>
    </row>
    <row r="52" customFormat="false" ht="30" hidden="false" customHeight="true" outlineLevel="0" collapsed="false">
      <c r="A52" s="6" t="s">
        <v>11</v>
      </c>
      <c r="B52" s="6"/>
      <c r="C52" s="6"/>
      <c r="D52" s="6"/>
      <c r="E52" s="6"/>
    </row>
  </sheetData>
  <mergeCells count="2">
    <mergeCell ref="A1:E1"/>
    <mergeCell ref="A52:E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20"/>
    <col collapsed="false" customWidth="true" hidden="false" outlineLevel="0" max="6" min="5" style="0" width="14"/>
  </cols>
  <sheetData>
    <row r="1" customFormat="false" ht="16.15" hidden="false" customHeight="false" outlineLevel="0" collapsed="false">
      <c r="A1" s="1" t="s">
        <v>12</v>
      </c>
      <c r="B1" s="1"/>
      <c r="C1" s="1"/>
      <c r="D1" s="1"/>
      <c r="E1" s="1"/>
      <c r="F1" s="1"/>
    </row>
    <row r="3" customFormat="false" ht="15" hidden="false" customHeight="false" outlineLevel="0" collapsed="false">
      <c r="A3" s="2" t="s">
        <v>13</v>
      </c>
      <c r="B3" s="3" t="n">
        <v>0.600434323281937</v>
      </c>
    </row>
    <row r="4" customFormat="false" ht="15" hidden="false" customHeight="false" outlineLevel="0" collapsed="false">
      <c r="A4" s="2" t="s">
        <v>14</v>
      </c>
      <c r="B4" s="3" t="n">
        <v>-17.2996530122714</v>
      </c>
    </row>
    <row r="5" customFormat="false" ht="15" hidden="false" customHeight="false" outlineLevel="0" collapsed="false">
      <c r="A5" s="2" t="s">
        <v>15</v>
      </c>
      <c r="B5" s="3" t="n">
        <v>0.5</v>
      </c>
    </row>
    <row r="7" customFormat="false" ht="15" hidden="false" customHeight="false" outlineLevel="0" collapsed="false">
      <c r="A7" s="4" t="s">
        <v>3</v>
      </c>
      <c r="B7" s="4" t="s">
        <v>16</v>
      </c>
      <c r="C7" s="4" t="s">
        <v>17</v>
      </c>
      <c r="D7" s="4" t="s">
        <v>18</v>
      </c>
    </row>
    <row r="8" customFormat="false" ht="15" hidden="false" customHeight="false" outlineLevel="0" collapsed="false">
      <c r="A8" s="3" t="n">
        <v>6.24</v>
      </c>
      <c r="B8" s="3" t="n">
        <v>0</v>
      </c>
      <c r="C8" s="5" t="n">
        <f aca="false">1/(1+EXP(-($B$4+$B$3*A8)))</f>
        <v>1.30026283227931E-006</v>
      </c>
      <c r="D8" s="5" t="n">
        <f aca="false">IF(C8&gt;=$B$5,1,0)</f>
        <v>0</v>
      </c>
    </row>
    <row r="9" customFormat="false" ht="15" hidden="false" customHeight="false" outlineLevel="0" collapsed="false">
      <c r="A9" s="3" t="n">
        <v>8.3</v>
      </c>
      <c r="B9" s="3" t="n">
        <v>0</v>
      </c>
      <c r="C9" s="5" t="n">
        <f aca="false">1/(1+EXP(-($B$4+$B$3*A9)))</f>
        <v>4.47926042754786E-006</v>
      </c>
      <c r="D9" s="5" t="n">
        <f aca="false">IF(C9&gt;=$B$5,1,0)</f>
        <v>0</v>
      </c>
    </row>
    <row r="10" customFormat="false" ht="15" hidden="false" customHeight="false" outlineLevel="0" collapsed="false">
      <c r="A10" s="3" t="n">
        <v>8.6</v>
      </c>
      <c r="B10" s="3" t="n">
        <v>0</v>
      </c>
      <c r="C10" s="5" t="n">
        <f aca="false">1/(1+EXP(-($B$4+$B$3*A10)))</f>
        <v>5.36334239857899E-006</v>
      </c>
      <c r="D10" s="5" t="n">
        <f aca="false">IF(C10&gt;=$B$5,1,0)</f>
        <v>0</v>
      </c>
    </row>
    <row r="11" customFormat="false" ht="15" hidden="false" customHeight="false" outlineLevel="0" collapsed="false">
      <c r="A11" s="3" t="n">
        <v>8.82</v>
      </c>
      <c r="B11" s="3" t="n">
        <v>0</v>
      </c>
      <c r="C11" s="5" t="n">
        <f aca="false">1/(1+EXP(-($B$4+$B$3*A11)))</f>
        <v>6.12073480985203E-006</v>
      </c>
      <c r="D11" s="5" t="n">
        <f aca="false">IF(C11&gt;=$B$5,1,0)</f>
        <v>0</v>
      </c>
    </row>
    <row r="12" customFormat="false" ht="15" hidden="false" customHeight="false" outlineLevel="0" collapsed="false">
      <c r="A12" s="3" t="n">
        <v>11.66</v>
      </c>
      <c r="B12" s="3" t="n">
        <v>0</v>
      </c>
      <c r="C12" s="5" t="n">
        <f aca="false">1/(1+EXP(-($B$4+$B$3*A12)))</f>
        <v>3.36794572768281E-005</v>
      </c>
      <c r="D12" s="5" t="n">
        <f aca="false">IF(C12&gt;=$B$5,1,0)</f>
        <v>0</v>
      </c>
    </row>
    <row r="13" customFormat="false" ht="15" hidden="false" customHeight="false" outlineLevel="0" collapsed="false">
      <c r="A13" s="3" t="n">
        <v>14.02</v>
      </c>
      <c r="B13" s="3" t="n">
        <v>0</v>
      </c>
      <c r="C13" s="5" t="n">
        <f aca="false">1/(1+EXP(-($B$4+$B$3*A13)))</f>
        <v>0.000138907444024482</v>
      </c>
      <c r="D13" s="5" t="n">
        <f aca="false">IF(C13&gt;=$B$5,1,0)</f>
        <v>0</v>
      </c>
    </row>
    <row r="14" customFormat="false" ht="15" hidden="false" customHeight="false" outlineLevel="0" collapsed="false">
      <c r="A14" s="3" t="n">
        <v>15.24</v>
      </c>
      <c r="B14" s="3" t="n">
        <v>0</v>
      </c>
      <c r="C14" s="5" t="n">
        <f aca="false">1/(1+EXP(-($B$4+$B$3*A14)))</f>
        <v>0.000288930929082228</v>
      </c>
      <c r="D14" s="5" t="n">
        <f aca="false">IF(C14&gt;=$B$5,1,0)</f>
        <v>0</v>
      </c>
    </row>
    <row r="15" customFormat="false" ht="15" hidden="false" customHeight="false" outlineLevel="0" collapsed="false">
      <c r="A15" s="3" t="n">
        <v>15.67</v>
      </c>
      <c r="B15" s="3" t="n">
        <v>0</v>
      </c>
      <c r="C15" s="5" t="n">
        <f aca="false">1/(1+EXP(-($B$4+$B$3*A15)))</f>
        <v>0.000374012533553141</v>
      </c>
      <c r="D15" s="5" t="n">
        <f aca="false">IF(C15&gt;=$B$5,1,0)</f>
        <v>0</v>
      </c>
    </row>
    <row r="16" customFormat="false" ht="15" hidden="false" customHeight="false" outlineLevel="0" collapsed="false">
      <c r="A16" s="3" t="n">
        <v>16.52</v>
      </c>
      <c r="B16" s="3" t="n">
        <v>0</v>
      </c>
      <c r="C16" s="5" t="n">
        <f aca="false">1/(1+EXP(-($B$4+$B$3*A16)))</f>
        <v>0.000622914616732881</v>
      </c>
      <c r="D16" s="5" t="n">
        <f aca="false">IF(C16&gt;=$B$5,1,0)</f>
        <v>0</v>
      </c>
    </row>
    <row r="17" customFormat="false" ht="15" hidden="false" customHeight="false" outlineLevel="0" collapsed="false">
      <c r="A17" s="3" t="n">
        <v>18.42</v>
      </c>
      <c r="B17" s="3" t="n">
        <v>0</v>
      </c>
      <c r="C17" s="5" t="n">
        <f aca="false">1/(1+EXP(-($B$4+$B$3*A17)))</f>
        <v>0.0019467355030616</v>
      </c>
      <c r="D17" s="5" t="n">
        <f aca="false">IF(C17&gt;=$B$5,1,0)</f>
        <v>0</v>
      </c>
    </row>
    <row r="18" customFormat="false" ht="15" hidden="false" customHeight="false" outlineLevel="0" collapsed="false">
      <c r="A18" s="3" t="n">
        <v>18.8</v>
      </c>
      <c r="B18" s="3" t="n">
        <v>0</v>
      </c>
      <c r="C18" s="5" t="n">
        <f aca="false">1/(1+EXP(-($B$4+$B$3*A18)))</f>
        <v>0.0024444498856813</v>
      </c>
      <c r="D18" s="5" t="n">
        <f aca="false">IF(C18&gt;=$B$5,1,0)</f>
        <v>0</v>
      </c>
    </row>
    <row r="19" customFormat="false" ht="15" hidden="false" customHeight="false" outlineLevel="0" collapsed="false">
      <c r="A19" s="3" t="n">
        <v>19.41</v>
      </c>
      <c r="B19" s="3" t="n">
        <v>0</v>
      </c>
      <c r="C19" s="5" t="n">
        <f aca="false">1/(1+EXP(-($B$4+$B$3*A19)))</f>
        <v>0.00352191315505802</v>
      </c>
      <c r="D19" s="5" t="n">
        <f aca="false">IF(C19&gt;=$B$5,1,0)</f>
        <v>0</v>
      </c>
    </row>
    <row r="20" customFormat="false" ht="15" hidden="false" customHeight="false" outlineLevel="0" collapsed="false">
      <c r="A20" s="3" t="n">
        <v>20.7</v>
      </c>
      <c r="B20" s="3" t="n">
        <v>0</v>
      </c>
      <c r="C20" s="5" t="n">
        <f aca="false">1/(1+EXP(-($B$4+$B$3*A20)))</f>
        <v>0.00760992812693503</v>
      </c>
      <c r="D20" s="5" t="n">
        <f aca="false">IF(C20&gt;=$B$5,1,0)</f>
        <v>0</v>
      </c>
    </row>
    <row r="21" customFormat="false" ht="15" hidden="false" customHeight="false" outlineLevel="0" collapsed="false">
      <c r="A21" s="3" t="n">
        <v>22.65</v>
      </c>
      <c r="B21" s="3" t="n">
        <v>0</v>
      </c>
      <c r="C21" s="5" t="n">
        <f aca="false">1/(1+EXP(-($B$4+$B$3*A21)))</f>
        <v>0.0241313637167692</v>
      </c>
      <c r="D21" s="5" t="n">
        <f aca="false">IF(C21&gt;=$B$5,1,0)</f>
        <v>0</v>
      </c>
    </row>
    <row r="22" customFormat="false" ht="15" hidden="false" customHeight="false" outlineLevel="0" collapsed="false">
      <c r="A22" s="3" t="n">
        <v>23.29</v>
      </c>
      <c r="B22" s="3" t="n">
        <v>0</v>
      </c>
      <c r="C22" s="5" t="n">
        <f aca="false">1/(1+EXP(-($B$4+$B$3*A22)))</f>
        <v>0.0350419868793302</v>
      </c>
      <c r="D22" s="5" t="n">
        <f aca="false">IF(C22&gt;=$B$5,1,0)</f>
        <v>0</v>
      </c>
    </row>
    <row r="23" customFormat="false" ht="15" hidden="false" customHeight="false" outlineLevel="0" collapsed="false">
      <c r="A23" s="3" t="n">
        <v>23.52</v>
      </c>
      <c r="B23" s="3" t="n">
        <v>0</v>
      </c>
      <c r="C23" s="5" t="n">
        <f aca="false">1/(1+EXP(-($B$4+$B$3*A23)))</f>
        <v>0.0400236650101172</v>
      </c>
      <c r="D23" s="5" t="n">
        <f aca="false">IF(C23&gt;=$B$5,1,0)</f>
        <v>0</v>
      </c>
    </row>
    <row r="24" customFormat="false" ht="15" hidden="false" customHeight="false" outlineLevel="0" collapsed="false">
      <c r="A24" s="3" t="n">
        <v>23.62</v>
      </c>
      <c r="B24" s="3" t="n">
        <v>0</v>
      </c>
      <c r="C24" s="5" t="n">
        <f aca="false">1/(1+EXP(-($B$4+$B$3*A24)))</f>
        <v>0.0423954323066954</v>
      </c>
      <c r="D24" s="5" t="n">
        <f aca="false">IF(C24&gt;=$B$5,1,0)</f>
        <v>0</v>
      </c>
    </row>
    <row r="25" customFormat="false" ht="15" hidden="false" customHeight="false" outlineLevel="0" collapsed="false">
      <c r="A25" s="3" t="n">
        <v>24.05</v>
      </c>
      <c r="B25" s="3" t="n">
        <v>0</v>
      </c>
      <c r="C25" s="5" t="n">
        <f aca="false">1/(1+EXP(-($B$4+$B$3*A25)))</f>
        <v>0.0542073148055521</v>
      </c>
      <c r="D25" s="5" t="n">
        <f aca="false">IF(C25&gt;=$B$5,1,0)</f>
        <v>0</v>
      </c>
    </row>
    <row r="26" customFormat="false" ht="15" hidden="false" customHeight="false" outlineLevel="0" collapsed="false">
      <c r="A26" s="3" t="n">
        <v>25.65</v>
      </c>
      <c r="B26" s="3" t="n">
        <v>0</v>
      </c>
      <c r="C26" s="5" t="n">
        <f aca="false">1/(1+EXP(-($B$4+$B$3*A26)))</f>
        <v>0.130276909043395</v>
      </c>
      <c r="D26" s="5" t="n">
        <f aca="false">IF(C26&gt;=$B$5,1,0)</f>
        <v>0</v>
      </c>
    </row>
    <row r="27" customFormat="false" ht="15" hidden="false" customHeight="false" outlineLevel="0" collapsed="false">
      <c r="A27" s="3" t="n">
        <v>26.92</v>
      </c>
      <c r="B27" s="3" t="n">
        <v>0</v>
      </c>
      <c r="C27" s="5" t="n">
        <f aca="false">1/(1+EXP(-($B$4+$B$3*A27)))</f>
        <v>0.243062692417639</v>
      </c>
      <c r="D27" s="5" t="n">
        <f aca="false">IF(C27&gt;=$B$5,1,0)</f>
        <v>0</v>
      </c>
    </row>
    <row r="28" customFormat="false" ht="15" hidden="false" customHeight="false" outlineLevel="0" collapsed="false">
      <c r="A28" s="3" t="n">
        <v>27.61</v>
      </c>
      <c r="B28" s="3" t="n">
        <v>0</v>
      </c>
      <c r="C28" s="5" t="n">
        <f aca="false">1/(1+EXP(-($B$4+$B$3*A28)))</f>
        <v>0.327027248078168</v>
      </c>
      <c r="D28" s="5" t="n">
        <f aca="false">IF(C28&gt;=$B$5,1,0)</f>
        <v>0</v>
      </c>
    </row>
    <row r="29" customFormat="false" ht="15" hidden="false" customHeight="false" outlineLevel="0" collapsed="false">
      <c r="A29" s="3" t="n">
        <v>27.64</v>
      </c>
      <c r="B29" s="3" t="n">
        <v>0</v>
      </c>
      <c r="C29" s="5" t="n">
        <f aca="false">1/(1+EXP(-($B$4+$B$3*A29)))</f>
        <v>0.331003845962192</v>
      </c>
      <c r="D29" s="5" t="n">
        <f aca="false">IF(C29&gt;=$B$5,1,0)</f>
        <v>0</v>
      </c>
    </row>
    <row r="30" customFormat="false" ht="15" hidden="false" customHeight="false" outlineLevel="0" collapsed="false">
      <c r="A30" s="3" t="n">
        <v>27.95</v>
      </c>
      <c r="B30" s="3" t="n">
        <v>1</v>
      </c>
      <c r="C30" s="5" t="n">
        <f aca="false">1/(1+EXP(-($B$4+$B$3*A30)))</f>
        <v>0.373433802819985</v>
      </c>
      <c r="D30" s="5" t="n">
        <f aca="false">IF(C30&gt;=$B$5,1,0)</f>
        <v>0</v>
      </c>
    </row>
    <row r="31" customFormat="false" ht="15" hidden="false" customHeight="false" outlineLevel="0" collapsed="false">
      <c r="A31" s="3" t="n">
        <v>28.39</v>
      </c>
      <c r="B31" s="3" t="n">
        <v>1</v>
      </c>
      <c r="C31" s="5" t="n">
        <f aca="false">1/(1+EXP(-($B$4+$B$3*A31)))</f>
        <v>0.437005870000192</v>
      </c>
      <c r="D31" s="5" t="n">
        <f aca="false">IF(C31&gt;=$B$5,1,0)</f>
        <v>0</v>
      </c>
    </row>
    <row r="32" customFormat="false" ht="15" hidden="false" customHeight="false" outlineLevel="0" collapsed="false">
      <c r="A32" s="3" t="n">
        <v>28.87</v>
      </c>
      <c r="B32" s="3" t="n">
        <v>1</v>
      </c>
      <c r="C32" s="5" t="n">
        <f aca="false">1/(1+EXP(-($B$4+$B$3*A32)))</f>
        <v>0.508720590805279</v>
      </c>
      <c r="D32" s="5" t="n">
        <f aca="false">IF(C32&gt;=$B$5,1,0)</f>
        <v>1</v>
      </c>
    </row>
    <row r="33" customFormat="false" ht="15" hidden="false" customHeight="false" outlineLevel="0" collapsed="false">
      <c r="A33" s="3" t="n">
        <v>29.54</v>
      </c>
      <c r="B33" s="3" t="n">
        <v>0</v>
      </c>
      <c r="C33" s="5" t="n">
        <f aca="false">1/(1+EXP(-($B$4+$B$3*A33)))</f>
        <v>0.607586136720195</v>
      </c>
      <c r="D33" s="5" t="n">
        <f aca="false">IF(C33&gt;=$B$5,1,0)</f>
        <v>1</v>
      </c>
    </row>
    <row r="34" customFormat="false" ht="15" hidden="false" customHeight="false" outlineLevel="0" collapsed="false">
      <c r="A34" s="3" t="n">
        <v>29.99</v>
      </c>
      <c r="B34" s="3" t="n">
        <v>1</v>
      </c>
      <c r="C34" s="5" t="n">
        <f aca="false">1/(1+EXP(-($B$4+$B$3*A34)))</f>
        <v>0.66982028390005</v>
      </c>
      <c r="D34" s="5" t="n">
        <f aca="false">IF(C34&gt;=$B$5,1,0)</f>
        <v>1</v>
      </c>
    </row>
    <row r="35" customFormat="false" ht="15" hidden="false" customHeight="false" outlineLevel="0" collapsed="false">
      <c r="A35" s="3" t="n">
        <v>30.06</v>
      </c>
      <c r="B35" s="3" t="n">
        <v>1</v>
      </c>
      <c r="C35" s="5" t="n">
        <f aca="false">1/(1+EXP(-($B$4+$B$3*A35)))</f>
        <v>0.67904854650362</v>
      </c>
      <c r="D35" s="5" t="n">
        <f aca="false">IF(C35&gt;=$B$5,1,0)</f>
        <v>1</v>
      </c>
    </row>
    <row r="36" customFormat="false" ht="15" hidden="false" customHeight="false" outlineLevel="0" collapsed="false">
      <c r="A36" s="3" t="n">
        <v>31.17</v>
      </c>
      <c r="B36" s="3" t="n">
        <v>1</v>
      </c>
      <c r="C36" s="5" t="n">
        <f aca="false">1/(1+EXP(-($B$4+$B$3*A36)))</f>
        <v>0.804692479123255</v>
      </c>
      <c r="D36" s="5" t="n">
        <f aca="false">IF(C36&gt;=$B$5,1,0)</f>
        <v>1</v>
      </c>
    </row>
    <row r="37" customFormat="false" ht="15" hidden="false" customHeight="false" outlineLevel="0" collapsed="false">
      <c r="A37" s="3" t="n">
        <v>31.92</v>
      </c>
      <c r="B37" s="3" t="n">
        <v>1</v>
      </c>
      <c r="C37" s="5" t="n">
        <f aca="false">1/(1+EXP(-($B$4+$B$3*A37)))</f>
        <v>0.866019201598135</v>
      </c>
      <c r="D37" s="5" t="n">
        <f aca="false">IF(C37&gt;=$B$5,1,0)</f>
        <v>1</v>
      </c>
    </row>
    <row r="38" customFormat="false" ht="15" hidden="false" customHeight="false" outlineLevel="0" collapsed="false">
      <c r="A38" s="3" t="n">
        <v>32.42</v>
      </c>
      <c r="B38" s="3" t="n">
        <v>0</v>
      </c>
      <c r="C38" s="5" t="n">
        <f aca="false">1/(1+EXP(-($B$4+$B$3*A38)))</f>
        <v>0.897193940087867</v>
      </c>
      <c r="D38" s="5" t="n">
        <f aca="false">IF(C38&gt;=$B$5,1,0)</f>
        <v>1</v>
      </c>
    </row>
    <row r="39" customFormat="false" ht="15" hidden="false" customHeight="false" outlineLevel="0" collapsed="false">
      <c r="A39" s="3" t="n">
        <v>33.63</v>
      </c>
      <c r="B39" s="3" t="n">
        <v>1</v>
      </c>
      <c r="C39" s="5" t="n">
        <f aca="false">1/(1+EXP(-($B$4+$B$3*A39)))</f>
        <v>0.947496991035576</v>
      </c>
      <c r="D39" s="5" t="n">
        <f aca="false">IF(C39&gt;=$B$5,1,0)</f>
        <v>1</v>
      </c>
    </row>
    <row r="40" customFormat="false" ht="15" hidden="false" customHeight="false" outlineLevel="0" collapsed="false">
      <c r="A40" s="3" t="n">
        <v>35.03</v>
      </c>
      <c r="B40" s="3" t="n">
        <v>1</v>
      </c>
      <c r="C40" s="5" t="n">
        <f aca="false">1/(1+EXP(-($B$4+$B$3*A40)))</f>
        <v>0.976650683405152</v>
      </c>
      <c r="D40" s="5" t="n">
        <f aca="false">IF(C40&gt;=$B$5,1,0)</f>
        <v>1</v>
      </c>
    </row>
    <row r="41" customFormat="false" ht="15" hidden="false" customHeight="false" outlineLevel="0" collapsed="false">
      <c r="A41" s="3" t="n">
        <v>37.87</v>
      </c>
      <c r="B41" s="3" t="n">
        <v>1</v>
      </c>
      <c r="C41" s="5" t="n">
        <f aca="false">1/(1+EXP(-($B$4+$B$3*A41)))</f>
        <v>0.995674078577862</v>
      </c>
      <c r="D41" s="5" t="n">
        <f aca="false">IF(C41&gt;=$B$5,1,0)</f>
        <v>1</v>
      </c>
    </row>
    <row r="42" customFormat="false" ht="15" hidden="false" customHeight="false" outlineLevel="0" collapsed="false">
      <c r="A42" s="3" t="n">
        <v>38.45</v>
      </c>
      <c r="B42" s="3" t="n">
        <v>1</v>
      </c>
      <c r="C42" s="5" t="n">
        <f aca="false">1/(1+EXP(-($B$4+$B$3*A42)))</f>
        <v>0.996942351280788</v>
      </c>
      <c r="D42" s="5" t="n">
        <f aca="false">IF(C42&gt;=$B$5,1,0)</f>
        <v>1</v>
      </c>
    </row>
    <row r="43" customFormat="false" ht="15" hidden="false" customHeight="false" outlineLevel="0" collapsed="false">
      <c r="A43" s="3" t="n">
        <v>38.96</v>
      </c>
      <c r="B43" s="3" t="n">
        <v>1</v>
      </c>
      <c r="C43" s="5" t="n">
        <f aca="false">1/(1+EXP(-($B$4+$B$3*A43)))</f>
        <v>0.997747070015192</v>
      </c>
      <c r="D43" s="5" t="n">
        <f aca="false">IF(C43&gt;=$B$5,1,0)</f>
        <v>1</v>
      </c>
    </row>
    <row r="44" customFormat="false" ht="15" hidden="false" customHeight="false" outlineLevel="0" collapsed="false">
      <c r="A44" s="3" t="n">
        <v>40.97</v>
      </c>
      <c r="B44" s="3" t="n">
        <v>1</v>
      </c>
      <c r="C44" s="5" t="n">
        <f aca="false">1/(1+EXP(-($B$4+$B$3*A44)))</f>
        <v>0.999325012528475</v>
      </c>
      <c r="D44" s="5" t="n">
        <f aca="false">IF(C44&gt;=$B$5,1,0)</f>
        <v>1</v>
      </c>
    </row>
    <row r="45" customFormat="false" ht="15" hidden="false" customHeight="false" outlineLevel="0" collapsed="false">
      <c r="A45" s="3" t="n">
        <v>41.17</v>
      </c>
      <c r="B45" s="3" t="n">
        <v>1</v>
      </c>
      <c r="C45" s="5" t="n">
        <f aca="false">1/(1+EXP(-($B$4+$B$3*A45)))</f>
        <v>0.999401346092369</v>
      </c>
      <c r="D45" s="5" t="n">
        <f aca="false">IF(C45&gt;=$B$5,1,0)</f>
        <v>1</v>
      </c>
    </row>
    <row r="46" customFormat="false" ht="15" hidden="false" customHeight="false" outlineLevel="0" collapsed="false">
      <c r="A46" s="3" t="n">
        <v>42.06</v>
      </c>
      <c r="B46" s="3" t="n">
        <v>1</v>
      </c>
      <c r="C46" s="5" t="n">
        <f aca="false">1/(1+EXP(-($B$4+$B$3*A46)))</f>
        <v>0.999649084674635</v>
      </c>
      <c r="D46" s="5" t="n">
        <f aca="false">IF(C46&gt;=$B$5,1,0)</f>
        <v>1</v>
      </c>
    </row>
    <row r="47" customFormat="false" ht="15" hidden="false" customHeight="false" outlineLevel="0" collapsed="false">
      <c r="A47" s="3" t="n">
        <v>42.52</v>
      </c>
      <c r="B47" s="3" t="n">
        <v>1</v>
      </c>
      <c r="C47" s="5" t="n">
        <f aca="false">1/(1+EXP(-($B$4+$B$3*A47)))</f>
        <v>0.999733751559322</v>
      </c>
      <c r="D47" s="5" t="n">
        <f aca="false">IF(C47&gt;=$B$5,1,0)</f>
        <v>1</v>
      </c>
    </row>
    <row r="48" customFormat="false" ht="15" hidden="false" customHeight="false" outlineLevel="0" collapsed="false">
      <c r="A48" s="3" t="n">
        <v>43.43</v>
      </c>
      <c r="B48" s="3" t="n">
        <v>1</v>
      </c>
      <c r="C48" s="5" t="n">
        <f aca="false">1/(1+EXP(-($B$4+$B$3*A48)))</f>
        <v>0.999845815996945</v>
      </c>
      <c r="D48" s="5" t="n">
        <f aca="false">IF(C48&gt;=$B$5,1,0)</f>
        <v>1</v>
      </c>
    </row>
    <row r="49" customFormat="false" ht="15" hidden="false" customHeight="false" outlineLevel="0" collapsed="false">
      <c r="A49" s="3" t="n">
        <v>44</v>
      </c>
      <c r="B49" s="3" t="n">
        <v>1</v>
      </c>
      <c r="C49" s="5" t="n">
        <f aca="false">1/(1+EXP(-($B$4+$B$3*A49)))</f>
        <v>0.999890497887893</v>
      </c>
      <c r="D49" s="5" t="n">
        <f aca="false">IF(C49&gt;=$B$5,1,0)</f>
        <v>1</v>
      </c>
    </row>
    <row r="50" customFormat="false" ht="15" hidden="false" customHeight="false" outlineLevel="0" collapsed="false">
      <c r="A50" s="3" t="n">
        <v>45.19</v>
      </c>
      <c r="B50" s="3" t="n">
        <v>1</v>
      </c>
      <c r="C50" s="5" t="n">
        <f aca="false">1/(1+EXP(-($B$4+$B$3*A50)))</f>
        <v>0.999946403546318</v>
      </c>
      <c r="D50" s="5" t="n">
        <f aca="false">IF(C50&gt;=$B$5,1,0)</f>
        <v>1</v>
      </c>
    </row>
    <row r="51" customFormat="false" ht="15" hidden="false" customHeight="false" outlineLevel="0" collapsed="false">
      <c r="A51" s="3" t="n">
        <v>46.9</v>
      </c>
      <c r="B51" s="3" t="n">
        <v>1</v>
      </c>
      <c r="C51" s="5" t="n">
        <f aca="false">1/(1+EXP(-($B$4+$B$3*A51)))</f>
        <v>0.999980802604655</v>
      </c>
      <c r="D51" s="5" t="n">
        <f aca="false">IF(C51&gt;=$B$5,1,0)</f>
        <v>1</v>
      </c>
    </row>
    <row r="52" customFormat="false" ht="15" hidden="false" customHeight="false" outlineLevel="0" collapsed="false">
      <c r="A52" s="3" t="n">
        <v>50.32</v>
      </c>
      <c r="B52" s="3" t="n">
        <v>1</v>
      </c>
      <c r="C52" s="5" t="n">
        <f aca="false">1/(1+EXP(-($B$4+$B$3*A52)))</f>
        <v>0.999997537182648</v>
      </c>
      <c r="D52" s="5" t="n">
        <f aca="false">IF(C52&gt;=$B$5,1,0)</f>
        <v>1</v>
      </c>
    </row>
    <row r="53" customFormat="false" ht="15" hidden="false" customHeight="false" outlineLevel="0" collapsed="false">
      <c r="A53" s="3" t="n">
        <v>50.46</v>
      </c>
      <c r="B53" s="3" t="n">
        <v>1</v>
      </c>
      <c r="C53" s="5" t="n">
        <f aca="false">1/(1+EXP(-($B$4+$B$3*A53)))</f>
        <v>0.999997735745981</v>
      </c>
      <c r="D53" s="5" t="n">
        <f aca="false">IF(C53&gt;=$B$5,1,0)</f>
        <v>1</v>
      </c>
    </row>
    <row r="54" customFormat="false" ht="15" hidden="false" customHeight="false" outlineLevel="0" collapsed="false">
      <c r="A54" s="3" t="n">
        <v>50.48</v>
      </c>
      <c r="B54" s="3" t="n">
        <v>1</v>
      </c>
      <c r="C54" s="5" t="n">
        <f aca="false">1/(1+EXP(-($B$4+$B$3*A54)))</f>
        <v>0.999997762774027</v>
      </c>
      <c r="D54" s="5" t="n">
        <f aca="false">IF(C54&gt;=$B$5,1,0)</f>
        <v>1</v>
      </c>
    </row>
    <row r="55" customFormat="false" ht="15" hidden="false" customHeight="false" outlineLevel="0" collapsed="false">
      <c r="A55" s="3" t="n">
        <v>51.56</v>
      </c>
      <c r="B55" s="3" t="n">
        <v>1</v>
      </c>
      <c r="C55" s="5" t="n">
        <f aca="false">1/(1+EXP(-($B$4+$B$3*A55)))</f>
        <v>0.999998830274984</v>
      </c>
      <c r="D55" s="5" t="n">
        <f aca="false">IF(C55&gt;=$B$5,1,0)</f>
        <v>1</v>
      </c>
    </row>
    <row r="56" customFormat="false" ht="15" hidden="false" customHeight="false" outlineLevel="0" collapsed="false">
      <c r="A56" s="3" t="n">
        <v>52.51</v>
      </c>
      <c r="B56" s="3" t="n">
        <v>1</v>
      </c>
      <c r="C56" s="5" t="n">
        <f aca="false">1/(1+EXP(-($B$4+$B$3*A56)))</f>
        <v>0.999999338763298</v>
      </c>
      <c r="D56" s="5" t="n">
        <f aca="false">IF(C56&gt;=$B$5,1,0)</f>
        <v>1</v>
      </c>
    </row>
    <row r="57" customFormat="false" ht="15" hidden="false" customHeight="false" outlineLevel="0" collapsed="false">
      <c r="A57" s="3" t="n">
        <v>53.9</v>
      </c>
      <c r="B57" s="3" t="n">
        <v>1</v>
      </c>
      <c r="C57" s="5" t="n">
        <f aca="false">1/(1+EXP(-($B$4+$B$3*A57)))</f>
        <v>0.999999712992446</v>
      </c>
      <c r="D57" s="5" t="n">
        <f aca="false">IF(C57&gt;=$B$5,1,0)</f>
        <v>1</v>
      </c>
    </row>
    <row r="60" customFormat="false" ht="15" hidden="false" customHeight="false" outlineLevel="0" collapsed="false">
      <c r="A60" s="2" t="s">
        <v>19</v>
      </c>
    </row>
    <row r="61" customFormat="false" ht="15" hidden="false" customHeight="false" outlineLevel="0" collapsed="false">
      <c r="B61" s="2" t="s">
        <v>20</v>
      </c>
      <c r="C61" s="2" t="s">
        <v>21</v>
      </c>
    </row>
    <row r="62" customFormat="false" ht="15" hidden="false" customHeight="false" outlineLevel="0" collapsed="false">
      <c r="A62" s="2" t="s">
        <v>22</v>
      </c>
      <c r="B62" s="5" t="n">
        <f aca="false">COUNTIFS($B$8:$B$57,1,$D$8:$D$57,1)</f>
        <v>24</v>
      </c>
      <c r="C62" s="5" t="n">
        <f aca="false">COUNTIFS($B$8:$B$57,1,$D$8:$D$57,0)</f>
        <v>2</v>
      </c>
    </row>
    <row r="63" customFormat="false" ht="15" hidden="false" customHeight="false" outlineLevel="0" collapsed="false">
      <c r="A63" s="2" t="s">
        <v>23</v>
      </c>
      <c r="B63" s="5" t="n">
        <f aca="false">COUNTIFS($B$8:$B$57,0,$D$8:$D$57,1)</f>
        <v>2</v>
      </c>
      <c r="C63" s="5" t="n">
        <f aca="false">COUNTIFS($B$8:$B$57,0,$D$8:$D$57,0)</f>
        <v>22</v>
      </c>
    </row>
    <row r="65" customFormat="false" ht="15" hidden="false" customHeight="false" outlineLevel="0" collapsed="false">
      <c r="A65" s="2" t="s">
        <v>24</v>
      </c>
      <c r="B65" s="5" t="n">
        <f aca="false">(B62+C63)/COUNT($D$8:$D$57)</f>
        <v>0.92</v>
      </c>
    </row>
    <row r="67" customFormat="false" ht="39.75" hidden="false" customHeight="true" outlineLevel="0" collapsed="false">
      <c r="A67" s="6" t="s">
        <v>25</v>
      </c>
      <c r="B67" s="6"/>
      <c r="C67" s="6"/>
      <c r="D67" s="6"/>
      <c r="E67" s="6"/>
      <c r="F67" s="6"/>
    </row>
  </sheetData>
  <mergeCells count="2">
    <mergeCell ref="A1:F1"/>
    <mergeCell ref="A67:F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2026-08-16T15:17:37Z</dcterms:created>
  <dc:creator>openpyxl</dc:creator>
  <dc:description/>
  <dc:language>en-US</dc:language>
  <cp:lastModifiedBy/>
  <dcterms:modified xsi:type="dcterms:W3CDTF">2026-08-16T15:17:37Z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